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reza\Desktop\بابا\باستانی\Tour\"/>
    </mc:Choice>
  </mc:AlternateContent>
  <xr:revisionPtr revIDLastSave="0" documentId="13_ncr:1_{74DC4494-E256-48F6-B44F-AC1CEA127A25}" xr6:coauthVersionLast="47" xr6:coauthVersionMax="47" xr10:uidLastSave="{00000000-0000-0000-0000-000000000000}"/>
  <bookViews>
    <workbookView xWindow="-108" yWindow="-108" windowWidth="23256" windowHeight="12576" activeTab="2" xr2:uid="{A33A8728-34D4-4918-9A90-CEC3AF055692}"/>
  </bookViews>
  <sheets>
    <sheet name="DataBase" sheetId="1" r:id="rId1"/>
    <sheet name="Match" sheetId="3" r:id="rId2"/>
    <sheet name="Result" sheetId="2" r:id="rId3"/>
  </sheets>
  <definedNames>
    <definedName name="MaxRows">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N2" i="1" a="1"/>
  <c r="K2" i="1" a="1"/>
  <c r="K2" i="1" l="1"/>
  <c r="D2" i="2" s="1" a="1"/>
  <c r="D2" i="2" s="1"/>
  <c r="N2" i="1"/>
  <c r="A2" i="3" a="1"/>
  <c r="B2" i="2" l="1" a="1"/>
  <c r="B2" i="2" s="1"/>
  <c r="C2" i="2" a="1"/>
  <c r="C2" i="2" s="1"/>
  <c r="A2" i="3"/>
  <c r="E2" i="2" l="1" a="1"/>
  <c r="E2" i="2" s="1"/>
  <c r="I2" i="2" s="1" a="1"/>
  <c r="I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<sst xmlns="http://schemas.openxmlformats.org/spreadsheetml/2006/main" count="202" uniqueCount="79">
  <si>
    <t>ردیف</t>
  </si>
  <si>
    <t>نام و نام خانوادگی</t>
  </si>
  <si>
    <t>استان</t>
  </si>
  <si>
    <t>کدملی</t>
  </si>
  <si>
    <t>عنوان</t>
  </si>
  <si>
    <t>درصد جانبازی</t>
  </si>
  <si>
    <t>نوع جانبازی</t>
  </si>
  <si>
    <t>کلاس پزشکی</t>
  </si>
  <si>
    <t>رشته اول</t>
  </si>
  <si>
    <t>امتیاز</t>
  </si>
  <si>
    <t>رشته دوم</t>
  </si>
  <si>
    <t>مقام</t>
  </si>
  <si>
    <t>رشته</t>
  </si>
  <si>
    <t>کلاس</t>
  </si>
  <si>
    <t>سنگ</t>
  </si>
  <si>
    <t>میل</t>
  </si>
  <si>
    <t>کباده</t>
  </si>
  <si>
    <t>جمع</t>
  </si>
  <si>
    <t>امتیاز جدید</t>
  </si>
  <si>
    <t>چرخ</t>
  </si>
  <si>
    <t>MAXROWS</t>
  </si>
  <si>
    <t>MAX_C</t>
  </si>
  <si>
    <t>داوود چهاردولی</t>
  </si>
  <si>
    <t>حمید گودرزی</t>
  </si>
  <si>
    <t>جواد مجلسی راد</t>
  </si>
  <si>
    <t>رسول بایرامی</t>
  </si>
  <si>
    <t>حیدرعلی عسگری نژاد</t>
  </si>
  <si>
    <t>ابوطالب دولت آبادی</t>
  </si>
  <si>
    <t>مهدی اسدزاده</t>
  </si>
  <si>
    <t>حسین ضیائی</t>
  </si>
  <si>
    <t>حسن شیرزاد</t>
  </si>
  <si>
    <t>نادر ناصری</t>
  </si>
  <si>
    <t>سعید میسمی</t>
  </si>
  <si>
    <t>هوشنگ امامی</t>
  </si>
  <si>
    <t>سید یدالله میرنظامی</t>
  </si>
  <si>
    <t>حسن قره بخش</t>
  </si>
  <si>
    <t>سعید چیت ساز</t>
  </si>
  <si>
    <t>رشید ایمانی</t>
  </si>
  <si>
    <t>3932642880</t>
  </si>
  <si>
    <t>0043440861</t>
  </si>
  <si>
    <t>0052599566</t>
  </si>
  <si>
    <t>6369050598</t>
  </si>
  <si>
    <t>0048440949</t>
  </si>
  <si>
    <t>0032323042</t>
  </si>
  <si>
    <t>0052790029</t>
  </si>
  <si>
    <t>0050153595</t>
  </si>
  <si>
    <t>0037210432</t>
  </si>
  <si>
    <t>3250764655</t>
  </si>
  <si>
    <t>0033362378</t>
  </si>
  <si>
    <t>2948647101</t>
  </si>
  <si>
    <t>4848954932</t>
  </si>
  <si>
    <t>0040780228</t>
  </si>
  <si>
    <t>0045182061</t>
  </si>
  <si>
    <t>0049792067</t>
  </si>
  <si>
    <t>سالم تن</t>
  </si>
  <si>
    <t>قطع عضو</t>
  </si>
  <si>
    <t>قطع نخاع</t>
  </si>
  <si>
    <t>تهران الف</t>
  </si>
  <si>
    <t>تهران ب</t>
  </si>
  <si>
    <t>ورزشکار</t>
  </si>
  <si>
    <t>سلیمان سارایی</t>
  </si>
  <si>
    <t>4501060840</t>
  </si>
  <si>
    <t>البرز</t>
  </si>
  <si>
    <t>عباس رستمی</t>
  </si>
  <si>
    <t>0036151610</t>
  </si>
  <si>
    <t>نقدعلی رضایی</t>
  </si>
  <si>
    <t>حسن مهربان</t>
  </si>
  <si>
    <t>0323601227</t>
  </si>
  <si>
    <t>مسعود کاظمی</t>
  </si>
  <si>
    <t>0051687046</t>
  </si>
  <si>
    <t>منوچهر نبی</t>
  </si>
  <si>
    <t>1651717915</t>
  </si>
  <si>
    <t>حیدر اعتمادی</t>
  </si>
  <si>
    <t>3991459711</t>
  </si>
  <si>
    <t>محسن مرادی</t>
  </si>
  <si>
    <t>0052607062</t>
  </si>
  <si>
    <t>نقره</t>
  </si>
  <si>
    <t>طلا</t>
  </si>
  <si>
    <t>برنز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</si>
</sst>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11C45-F7CB-4A47-9169-4DADB11431CF}">
  <sheetPr codeName="Sheet1"/>
  <dimension ref="A1:R398"/>
  <sheetViews>
    <sheetView rightToLeft="1" topLeftCell="A15" zoomScale="115" zoomScaleNormal="115" workbookViewId="0">
      <selection activeCell="H8" sqref="H8"/>
    </sheetView>
  </sheetViews>
  <sheetFormatPr defaultRowHeight="14.4" x14ac:dyDescent="0.3"/>
  <cols>
    <col min="1" max="1" width="4.5546875" style="4" bestFit="1" customWidth="1"/>
    <col min="2" max="2" width="21.109375" style="3" customWidth="1"/>
    <col min="3" max="3" width="15.88671875" style="3" customWidth="1"/>
    <col min="4" max="4" width="14.21875" style="11" customWidth="1"/>
    <col min="5" max="5" width="9.88671875" style="3" customWidth="1"/>
    <col min="6" max="6" width="10.44140625" style="3" bestFit="1" customWidth="1"/>
    <col min="7" max="7" width="11.21875" style="3" customWidth="1"/>
    <col min="8" max="8" width="8.77734375" style="3" bestFit="1" customWidth="1"/>
    <col min="9" max="9" width="9.44140625" style="3" customWidth="1"/>
    <col min="10" max="10" width="9.6640625" style="3" customWidth="1"/>
    <col min="11" max="11" width="3.88671875" style="5" bestFit="1" customWidth="1"/>
    <col min="12" max="12" width="9.21875" style="3" customWidth="1"/>
    <col min="13" max="13" width="9.88671875" style="3" customWidth="1"/>
    <col min="14" max="14" width="3.88671875" style="5" bestFit="1" customWidth="1"/>
    <col min="15" max="16" width="8.88671875" style="1"/>
    <col min="17" max="17" width="6.88671875" style="1" bestFit="1" customWidth="1"/>
    <col min="18" max="18" width="9.88671875" style="1" bestFit="1" customWidth="1"/>
    <col min="19" max="16384" width="8.88671875" style="1"/>
  </cols>
  <sheetData>
    <row r="1" spans="1:18" x14ac:dyDescent="0.3">
      <c r="A1" s="4" t="s">
        <v>0</v>
      </c>
      <c r="B1" s="2" t="s">
        <v>1</v>
      </c>
      <c r="C1" s="2" t="s">
        <v>2</v>
      </c>
      <c r="D1" s="10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10</v>
      </c>
      <c r="M1" s="2" t="s">
        <v>9</v>
      </c>
      <c r="N1" s="2" t="s">
        <v>11</v>
      </c>
      <c r="Q1" s="8" t="s">
        <v>21</v>
      </c>
      <c r="R1" s="8" t="s">
        <v>20</v>
      </c>
    </row>
    <row r="2" spans="1:18" x14ac:dyDescent="0.3">
      <c r="A2" s="4" cm="1">
        <f t="array" ref="A2:A26">_xlfn.SEQUENCE(DataBase!$R$2, 1, 1, 1)</f>
        <v>1</v>
      </c>
      <c r="B2" s="3" t="s">
        <v>22</v>
      </c>
      <c r="C2" s="3" t="s">
        <v>57</v>
      </c>
      <c r="D2" s="11" t="s">
        <v>38</v>
      </c>
      <c r="E2" s="3" t="s">
        <v>59</v>
      </c>
      <c r="G2" s="3" t="s">
        <v>54</v>
      </c>
      <c r="H2" s="3">
        <v>5</v>
      </c>
      <c r="I2" s="3" t="s">
        <v>14</v>
      </c>
      <c r="K2" s="9" cm="1">
        <f t="array" aca="1" ref="K2:K25" ca="1">COUNTIFS(INDIRECT("I$2:I$" &amp; DataBase!$R$2), I2:INDIRECT("I$" &amp; DataBase!$R$2), INDIRECT("H$2:H$" &amp; DataBase!$R$2), H2:INDIRECT("H$" &amp; DataBase!$R$2), INDIRECT("J$2:J$" &amp; DataBase!$R$2), "&gt;="&amp;J2:INDIRECT("J$" &amp; DataBase!$R$2)) +
COUNTIFS(INDIRECT("L$2:L$" &amp; DataBase!$R$2), I2:INDIRECT("I$" &amp; DataBase!$R$2), INDIRECT("H$2:H$" &amp; DataBase!$R$2), H2:INDIRECT("H$" &amp; DataBase!$R$2), INDIRECT("M$2:M$" &amp; DataBase!$R$2), "&gt;="&amp;J2:INDIRECT("J$" &amp; DataBase!$R$2))</f>
        <v>0</v>
      </c>
      <c r="L2" s="3" t="s">
        <v>16</v>
      </c>
      <c r="N2" s="5" cm="1">
        <f t="array" aca="1" ref="N2:N25" ca="1">COUNTIFS(INDIRECT("I$2:I$" &amp; DataBase!$R$2), L2:INDIRECT("L$" &amp; DataBase!$R$2), INDIRECT("H$2:H$" &amp; DataBase!$R$2), H2:INDIRECT("H$" &amp; DataBase!$R$2), INDIRECT("J$2:J$" &amp; DataBase!$R$2), "&gt;="&amp;M2:INDIRECT("M$" &amp; DataBase!$R$2)) +
COUNTIFS(INDIRECT("L$2:L$" &amp; DataBase!$R$2), L2:INDIRECT("L$" &amp; DataBase!$R$2), INDIRECT("H$2:H$" &amp; DataBase!$R$2), H2:INDIRECT("H$" &amp; DataBase!$R$2), INDIRECT("M$2:M$" &amp; DataBase!$R$2), "&gt;="&amp;M2:INDIRECT("M$" &amp; DataBase!$R$2))</f>
        <v>0</v>
      </c>
      <c r="Q2" s="3">
        <v>3</v>
      </c>
      <c r="R2" s="3">
        <v>25</v>
      </c>
    </row>
    <row r="3" spans="1:18" x14ac:dyDescent="0.3">
      <c r="A3" s="4">
        <v>2</v>
      </c>
      <c r="B3" s="3" t="s">
        <v>23</v>
      </c>
      <c r="C3" s="3" t="s">
        <v>57</v>
      </c>
      <c r="D3" s="11" t="s">
        <v>39</v>
      </c>
      <c r="E3" s="3" t="s">
        <v>59</v>
      </c>
      <c r="G3" s="3" t="s">
        <v>54</v>
      </c>
      <c r="H3" s="3">
        <v>5</v>
      </c>
      <c r="I3" s="3" t="s">
        <v>14</v>
      </c>
      <c r="K3" s="9">
        <f ca="1"/>
        <v>0</v>
      </c>
      <c r="L3" s="3" t="s">
        <v>15</v>
      </c>
      <c r="M3" s="3">
        <v>371</v>
      </c>
      <c r="N3" s="5">
        <f ca="1"/>
        <v>4</v>
      </c>
    </row>
    <row r="4" spans="1:18" x14ac:dyDescent="0.3">
      <c r="A4" s="4">
        <v>3</v>
      </c>
      <c r="B4" s="3" t="s">
        <v>24</v>
      </c>
      <c r="C4" s="3" t="s">
        <v>57</v>
      </c>
      <c r="D4" s="11" t="s">
        <v>40</v>
      </c>
      <c r="E4" s="3" t="s">
        <v>59</v>
      </c>
      <c r="G4" s="3" t="s">
        <v>55</v>
      </c>
      <c r="H4" s="3">
        <v>3</v>
      </c>
      <c r="I4" s="3" t="s">
        <v>14</v>
      </c>
      <c r="K4" s="9">
        <f ca="1"/>
        <v>0</v>
      </c>
      <c r="L4" s="3" t="s">
        <v>16</v>
      </c>
      <c r="N4" s="5">
        <f ca="1"/>
        <v>0</v>
      </c>
    </row>
    <row r="5" spans="1:18" x14ac:dyDescent="0.3">
      <c r="A5" s="4">
        <v>4</v>
      </c>
      <c r="B5" s="3" t="s">
        <v>25</v>
      </c>
      <c r="C5" s="3" t="s">
        <v>57</v>
      </c>
      <c r="D5" s="11" t="s">
        <v>41</v>
      </c>
      <c r="E5" s="3" t="s">
        <v>59</v>
      </c>
      <c r="G5" s="3" t="s">
        <v>55</v>
      </c>
      <c r="H5" s="3">
        <v>2</v>
      </c>
      <c r="I5" s="3" t="s">
        <v>19</v>
      </c>
      <c r="K5" s="9">
        <f ca="1"/>
        <v>0</v>
      </c>
      <c r="L5" s="3" t="s">
        <v>16</v>
      </c>
      <c r="N5" s="5">
        <f ca="1"/>
        <v>0</v>
      </c>
    </row>
    <row r="6" spans="1:18" x14ac:dyDescent="0.3">
      <c r="A6" s="4">
        <v>5</v>
      </c>
      <c r="B6" s="3" t="s">
        <v>26</v>
      </c>
      <c r="C6" s="3" t="s">
        <v>57</v>
      </c>
      <c r="D6" s="11" t="s">
        <v>42</v>
      </c>
      <c r="E6" s="3" t="s">
        <v>59</v>
      </c>
      <c r="G6" s="3" t="s">
        <v>55</v>
      </c>
      <c r="H6" s="3">
        <v>3</v>
      </c>
      <c r="I6" s="3" t="s">
        <v>15</v>
      </c>
      <c r="K6" s="9">
        <f ca="1"/>
        <v>0</v>
      </c>
      <c r="L6" s="3" t="s">
        <v>16</v>
      </c>
      <c r="N6" s="5">
        <f ca="1"/>
        <v>0</v>
      </c>
    </row>
    <row r="7" spans="1:18" x14ac:dyDescent="0.3">
      <c r="A7" s="4">
        <v>6</v>
      </c>
      <c r="B7" s="3" t="s">
        <v>27</v>
      </c>
      <c r="C7" s="3" t="s">
        <v>57</v>
      </c>
      <c r="D7" s="11" t="s">
        <v>43</v>
      </c>
      <c r="E7" s="3" t="s">
        <v>59</v>
      </c>
      <c r="G7" s="3" t="s">
        <v>54</v>
      </c>
      <c r="H7" s="3">
        <v>4</v>
      </c>
      <c r="I7" s="3" t="s">
        <v>15</v>
      </c>
      <c r="J7" s="3">
        <v>450</v>
      </c>
      <c r="K7" s="9">
        <f ca="1"/>
        <v>1</v>
      </c>
      <c r="L7" s="3" t="s">
        <v>16</v>
      </c>
      <c r="N7" s="5">
        <f ca="1"/>
        <v>0</v>
      </c>
    </row>
    <row r="8" spans="1:18" x14ac:dyDescent="0.3">
      <c r="A8" s="4">
        <v>7</v>
      </c>
      <c r="B8" s="3" t="s">
        <v>28</v>
      </c>
      <c r="C8" s="3" t="s">
        <v>57</v>
      </c>
      <c r="D8" s="11" t="s">
        <v>44</v>
      </c>
      <c r="E8" s="3" t="s">
        <v>59</v>
      </c>
      <c r="G8" s="3" t="s">
        <v>56</v>
      </c>
      <c r="H8" s="3">
        <v>1</v>
      </c>
      <c r="I8" s="3" t="s">
        <v>19</v>
      </c>
      <c r="K8" s="9">
        <f ca="1"/>
        <v>0</v>
      </c>
      <c r="L8" s="3" t="s">
        <v>15</v>
      </c>
      <c r="N8" s="5">
        <f ca="1"/>
        <v>0</v>
      </c>
    </row>
    <row r="9" spans="1:18" x14ac:dyDescent="0.3">
      <c r="A9" s="4">
        <v>8</v>
      </c>
      <c r="B9" s="3" t="s">
        <v>29</v>
      </c>
      <c r="C9" s="3" t="s">
        <v>57</v>
      </c>
      <c r="D9" s="11" t="s">
        <v>45</v>
      </c>
      <c r="E9" s="3" t="s">
        <v>59</v>
      </c>
      <c r="G9" s="3" t="s">
        <v>54</v>
      </c>
      <c r="H9" s="3">
        <v>5</v>
      </c>
      <c r="I9" s="3" t="s">
        <v>19</v>
      </c>
      <c r="K9" s="9">
        <f ca="1"/>
        <v>0</v>
      </c>
      <c r="L9" s="3" t="s">
        <v>15</v>
      </c>
      <c r="M9" s="3">
        <v>405</v>
      </c>
      <c r="N9" s="5">
        <f ca="1"/>
        <v>2</v>
      </c>
    </row>
    <row r="10" spans="1:18" x14ac:dyDescent="0.3">
      <c r="A10" s="4">
        <v>9</v>
      </c>
      <c r="B10" s="3" t="s">
        <v>30</v>
      </c>
      <c r="C10" s="3" t="s">
        <v>58</v>
      </c>
      <c r="D10" s="11" t="s">
        <v>46</v>
      </c>
      <c r="E10" s="3" t="s">
        <v>59</v>
      </c>
      <c r="G10" s="3" t="s">
        <v>54</v>
      </c>
      <c r="H10" s="3">
        <v>5</v>
      </c>
      <c r="I10" s="3" t="s">
        <v>14</v>
      </c>
      <c r="K10" s="9">
        <f ca="1"/>
        <v>0</v>
      </c>
      <c r="L10" s="3" t="s">
        <v>15</v>
      </c>
      <c r="M10" s="3">
        <v>499</v>
      </c>
      <c r="N10" s="5">
        <f ca="1"/>
        <v>1</v>
      </c>
    </row>
    <row r="11" spans="1:18" x14ac:dyDescent="0.3">
      <c r="A11" s="4">
        <v>10</v>
      </c>
      <c r="B11" s="3" t="s">
        <v>31</v>
      </c>
      <c r="C11" s="3" t="s">
        <v>58</v>
      </c>
      <c r="D11" s="11" t="s">
        <v>47</v>
      </c>
      <c r="E11" s="3" t="s">
        <v>59</v>
      </c>
      <c r="G11" s="3" t="s">
        <v>56</v>
      </c>
      <c r="H11" s="3">
        <v>1</v>
      </c>
      <c r="I11" s="3" t="s">
        <v>15</v>
      </c>
      <c r="K11" s="9">
        <f ca="1"/>
        <v>0</v>
      </c>
      <c r="L11" s="3" t="s">
        <v>16</v>
      </c>
      <c r="N11" s="5">
        <f ca="1"/>
        <v>0</v>
      </c>
    </row>
    <row r="12" spans="1:18" x14ac:dyDescent="0.3">
      <c r="A12" s="4">
        <v>11</v>
      </c>
      <c r="B12" s="3" t="s">
        <v>32</v>
      </c>
      <c r="C12" s="3" t="s">
        <v>58</v>
      </c>
      <c r="D12" s="11" t="s">
        <v>48</v>
      </c>
      <c r="E12" s="3" t="s">
        <v>59</v>
      </c>
      <c r="G12" s="3" t="s">
        <v>54</v>
      </c>
      <c r="H12" s="3">
        <v>5</v>
      </c>
      <c r="I12" s="3" t="s">
        <v>19</v>
      </c>
      <c r="K12" s="9">
        <f ca="1"/>
        <v>0</v>
      </c>
      <c r="L12" s="3" t="s">
        <v>16</v>
      </c>
      <c r="N12" s="5">
        <f ca="1"/>
        <v>0</v>
      </c>
    </row>
    <row r="13" spans="1:18" x14ac:dyDescent="0.3">
      <c r="A13" s="4">
        <v>12</v>
      </c>
      <c r="B13" s="3" t="s">
        <v>33</v>
      </c>
      <c r="C13" s="3" t="s">
        <v>58</v>
      </c>
      <c r="D13" s="11" t="s">
        <v>49</v>
      </c>
      <c r="E13" s="3" t="s">
        <v>59</v>
      </c>
      <c r="G13" s="3" t="s">
        <v>54</v>
      </c>
      <c r="H13" s="3">
        <v>5</v>
      </c>
      <c r="I13" s="3" t="s">
        <v>15</v>
      </c>
      <c r="J13" s="3">
        <v>402</v>
      </c>
      <c r="K13" s="9">
        <f ca="1"/>
        <v>3</v>
      </c>
      <c r="L13" s="3" t="s">
        <v>16</v>
      </c>
      <c r="N13" s="5">
        <f ca="1"/>
        <v>0</v>
      </c>
    </row>
    <row r="14" spans="1:18" x14ac:dyDescent="0.3">
      <c r="A14" s="4">
        <v>13</v>
      </c>
      <c r="B14" s="3" t="s">
        <v>34</v>
      </c>
      <c r="C14" s="3" t="s">
        <v>58</v>
      </c>
      <c r="D14" s="11" t="s">
        <v>50</v>
      </c>
      <c r="E14" s="3" t="s">
        <v>59</v>
      </c>
      <c r="G14" s="3" t="s">
        <v>54</v>
      </c>
      <c r="H14" s="3">
        <v>5</v>
      </c>
      <c r="I14" s="3" t="s">
        <v>19</v>
      </c>
      <c r="K14" s="9">
        <f ca="1"/>
        <v>0</v>
      </c>
      <c r="L14" s="3" t="s">
        <v>16</v>
      </c>
      <c r="N14" s="5">
        <f ca="1"/>
        <v>0</v>
      </c>
    </row>
    <row r="15" spans="1:18" x14ac:dyDescent="0.3">
      <c r="A15" s="4">
        <v>14</v>
      </c>
      <c r="B15" s="3" t="s">
        <v>35</v>
      </c>
      <c r="C15" s="3" t="s">
        <v>58</v>
      </c>
      <c r="D15" s="11" t="s">
        <v>51</v>
      </c>
      <c r="E15" s="3" t="s">
        <v>59</v>
      </c>
      <c r="G15" s="3" t="s">
        <v>54</v>
      </c>
      <c r="H15" s="3">
        <v>5</v>
      </c>
      <c r="I15" s="3" t="s">
        <v>15</v>
      </c>
      <c r="J15" s="3">
        <v>190</v>
      </c>
      <c r="K15" s="9">
        <f ca="1"/>
        <v>7</v>
      </c>
      <c r="L15" s="3" t="s">
        <v>16</v>
      </c>
      <c r="N15" s="5">
        <f ca="1"/>
        <v>0</v>
      </c>
    </row>
    <row r="16" spans="1:18" x14ac:dyDescent="0.3">
      <c r="A16" s="4">
        <v>15</v>
      </c>
      <c r="B16" s="3" t="s">
        <v>36</v>
      </c>
      <c r="C16" s="3" t="s">
        <v>58</v>
      </c>
      <c r="D16" s="11" t="s">
        <v>52</v>
      </c>
      <c r="E16" s="3" t="s">
        <v>59</v>
      </c>
      <c r="G16" s="3" t="s">
        <v>56</v>
      </c>
      <c r="H16" s="3">
        <v>1</v>
      </c>
      <c r="I16" s="3" t="s">
        <v>19</v>
      </c>
      <c r="K16" s="9">
        <f ca="1"/>
        <v>0</v>
      </c>
      <c r="L16" s="3" t="s">
        <v>15</v>
      </c>
      <c r="N16" s="5">
        <f ca="1"/>
        <v>0</v>
      </c>
    </row>
    <row r="17" spans="1:14" x14ac:dyDescent="0.3">
      <c r="A17" s="4">
        <v>16</v>
      </c>
      <c r="B17" s="3" t="s">
        <v>37</v>
      </c>
      <c r="C17" s="3" t="s">
        <v>58</v>
      </c>
      <c r="D17" s="11" t="s">
        <v>53</v>
      </c>
      <c r="E17" s="3" t="s">
        <v>59</v>
      </c>
      <c r="G17" s="3" t="s">
        <v>55</v>
      </c>
      <c r="H17" s="3">
        <v>3</v>
      </c>
      <c r="I17" s="3" t="s">
        <v>19</v>
      </c>
      <c r="K17" s="9">
        <f ca="1"/>
        <v>0</v>
      </c>
      <c r="L17" s="3" t="s">
        <v>15</v>
      </c>
      <c r="N17" s="5">
        <f ca="1"/>
        <v>0</v>
      </c>
    </row>
    <row r="18" spans="1:14" x14ac:dyDescent="0.3">
      <c r="A18" s="4">
        <v>17</v>
      </c>
      <c r="B18" s="3" t="s">
        <v>60</v>
      </c>
      <c r="C18" s="3" t="s">
        <v>62</v>
      </c>
      <c r="D18" s="11" t="s">
        <v>61</v>
      </c>
      <c r="E18" s="3" t="s">
        <v>59</v>
      </c>
      <c r="G18" s="3" t="s">
        <v>56</v>
      </c>
      <c r="H18" s="3">
        <v>1</v>
      </c>
      <c r="I18" s="3" t="s">
        <v>15</v>
      </c>
      <c r="J18" s="3">
        <v>500</v>
      </c>
      <c r="K18" s="9">
        <f ca="1"/>
        <v>1</v>
      </c>
      <c r="L18" s="3" t="s">
        <v>16</v>
      </c>
      <c r="N18" s="5">
        <f ca="1"/>
        <v>0</v>
      </c>
    </row>
    <row r="19" spans="1:14" x14ac:dyDescent="0.3">
      <c r="A19" s="4">
        <v>18</v>
      </c>
      <c r="B19" s="3" t="s">
        <v>63</v>
      </c>
      <c r="C19" s="3" t="s">
        <v>62</v>
      </c>
      <c r="D19" s="11" t="s">
        <v>64</v>
      </c>
      <c r="E19" s="3" t="s">
        <v>59</v>
      </c>
      <c r="G19" s="3" t="s">
        <v>56</v>
      </c>
      <c r="H19" s="3">
        <v>1</v>
      </c>
      <c r="I19" s="3" t="s">
        <v>19</v>
      </c>
      <c r="K19" s="9">
        <f ca="1"/>
        <v>0</v>
      </c>
      <c r="N19" s="5">
        <f ca="1"/>
        <v>0</v>
      </c>
    </row>
    <row r="20" spans="1:14" x14ac:dyDescent="0.3">
      <c r="A20" s="4">
        <v>19</v>
      </c>
      <c r="B20" s="3" t="s">
        <v>65</v>
      </c>
      <c r="C20" s="3" t="s">
        <v>62</v>
      </c>
      <c r="D20" s="3">
        <v>1530901731</v>
      </c>
      <c r="E20" s="3" t="s">
        <v>59</v>
      </c>
      <c r="G20" s="3" t="s">
        <v>55</v>
      </c>
      <c r="H20" s="3">
        <v>2</v>
      </c>
      <c r="I20" s="3" t="s">
        <v>15</v>
      </c>
      <c r="K20" s="9">
        <f ca="1"/>
        <v>0</v>
      </c>
      <c r="L20" s="3" t="s">
        <v>19</v>
      </c>
      <c r="N20" s="5">
        <f ca="1"/>
        <v>0</v>
      </c>
    </row>
    <row r="21" spans="1:14" x14ac:dyDescent="0.3">
      <c r="A21" s="4">
        <v>20</v>
      </c>
      <c r="B21" s="3" t="s">
        <v>66</v>
      </c>
      <c r="C21" s="3" t="s">
        <v>62</v>
      </c>
      <c r="D21" s="11" t="s">
        <v>67</v>
      </c>
      <c r="E21" s="3" t="s">
        <v>59</v>
      </c>
      <c r="G21" s="3" t="s">
        <v>55</v>
      </c>
      <c r="H21" s="3">
        <v>2</v>
      </c>
      <c r="I21" s="3" t="s">
        <v>15</v>
      </c>
      <c r="K21" s="9">
        <f ca="1"/>
        <v>0</v>
      </c>
      <c r="L21" s="3" t="s">
        <v>19</v>
      </c>
      <c r="N21" s="5">
        <f ca="1"/>
        <v>0</v>
      </c>
    </row>
    <row r="22" spans="1:14" x14ac:dyDescent="0.3">
      <c r="A22" s="4">
        <v>21</v>
      </c>
      <c r="B22" s="3" t="s">
        <v>68</v>
      </c>
      <c r="C22" s="3" t="s">
        <v>62</v>
      </c>
      <c r="D22" s="11" t="s">
        <v>69</v>
      </c>
      <c r="E22" s="3" t="s">
        <v>59</v>
      </c>
      <c r="G22" s="3" t="s">
        <v>54</v>
      </c>
      <c r="H22" s="3">
        <v>5</v>
      </c>
      <c r="I22" s="3" t="s">
        <v>15</v>
      </c>
      <c r="J22" s="3">
        <v>212</v>
      </c>
      <c r="K22" s="9">
        <f ca="1"/>
        <v>6</v>
      </c>
      <c r="N22" s="5">
        <f ca="1"/>
        <v>0</v>
      </c>
    </row>
    <row r="23" spans="1:14" x14ac:dyDescent="0.3">
      <c r="A23" s="4">
        <v>22</v>
      </c>
      <c r="B23" s="3" t="s">
        <v>70</v>
      </c>
      <c r="C23" s="3" t="s">
        <v>62</v>
      </c>
      <c r="D23" s="11" t="s">
        <v>71</v>
      </c>
      <c r="E23" s="3" t="s">
        <v>59</v>
      </c>
      <c r="G23" s="3" t="s">
        <v>54</v>
      </c>
      <c r="H23" s="3">
        <v>5</v>
      </c>
      <c r="I23" s="3" t="s">
        <v>14</v>
      </c>
      <c r="K23" s="9">
        <f ca="1"/>
        <v>0</v>
      </c>
      <c r="L23" s="3" t="s">
        <v>16</v>
      </c>
      <c r="N23" s="5">
        <f ca="1"/>
        <v>0</v>
      </c>
    </row>
    <row r="24" spans="1:14" x14ac:dyDescent="0.3">
      <c r="A24" s="4">
        <v>23</v>
      </c>
      <c r="B24" s="3" t="s">
        <v>72</v>
      </c>
      <c r="C24" s="3" t="s">
        <v>62</v>
      </c>
      <c r="D24" s="11" t="s">
        <v>73</v>
      </c>
      <c r="E24" s="3" t="s">
        <v>59</v>
      </c>
      <c r="G24" s="3" t="s">
        <v>54</v>
      </c>
      <c r="H24" s="3">
        <v>5</v>
      </c>
      <c r="I24" s="3" t="s">
        <v>19</v>
      </c>
      <c r="K24" s="9">
        <f ca="1"/>
        <v>0</v>
      </c>
      <c r="L24" s="3" t="s">
        <v>16</v>
      </c>
      <c r="N24" s="5">
        <f ca="1"/>
        <v>0</v>
      </c>
    </row>
    <row r="25" spans="1:14" x14ac:dyDescent="0.3">
      <c r="A25" s="4">
        <v>24</v>
      </c>
      <c r="B25" s="3" t="s">
        <v>74</v>
      </c>
      <c r="C25" s="3" t="s">
        <v>62</v>
      </c>
      <c r="D25" s="11" t="s">
        <v>75</v>
      </c>
      <c r="E25" s="3" t="s">
        <v>59</v>
      </c>
      <c r="G25" s="3" t="s">
        <v>54</v>
      </c>
      <c r="H25" s="3">
        <v>5</v>
      </c>
      <c r="I25" s="3" t="s">
        <v>19</v>
      </c>
      <c r="K25" s="9">
        <f ca="1"/>
        <v>0</v>
      </c>
      <c r="L25" s="3" t="s">
        <v>15</v>
      </c>
      <c r="M25" s="3">
        <v>336</v>
      </c>
      <c r="N25" s="5">
        <f ca="1"/>
        <v>5</v>
      </c>
    </row>
    <row r="26" spans="1:14" x14ac:dyDescent="0.3">
      <c r="A26" s="4">
        <v>25</v>
      </c>
      <c r="K26" s="9"/>
    </row>
    <row r="27" spans="1:14" x14ac:dyDescent="0.3">
      <c r="K27" s="9"/>
    </row>
    <row r="28" spans="1:14" x14ac:dyDescent="0.3">
      <c r="K28" s="9"/>
    </row>
    <row r="29" spans="1:14" x14ac:dyDescent="0.3">
      <c r="K29" s="9"/>
    </row>
    <row r="30" spans="1:14" x14ac:dyDescent="0.3">
      <c r="K30" s="9"/>
    </row>
    <row r="31" spans="1:14" x14ac:dyDescent="0.3">
      <c r="K31" s="9"/>
    </row>
    <row r="32" spans="1:14" x14ac:dyDescent="0.3">
      <c r="K32" s="9"/>
    </row>
    <row r="33" spans="11:11" x14ac:dyDescent="0.3">
      <c r="K33" s="9"/>
    </row>
    <row r="34" spans="11:11" x14ac:dyDescent="0.3">
      <c r="K34" s="9"/>
    </row>
    <row r="35" spans="11:11" x14ac:dyDescent="0.3">
      <c r="K35" s="9"/>
    </row>
    <row r="36" spans="11:11" x14ac:dyDescent="0.3">
      <c r="K36" s="9"/>
    </row>
    <row r="37" spans="11:11" x14ac:dyDescent="0.3">
      <c r="K37" s="9"/>
    </row>
    <row r="38" spans="11:11" x14ac:dyDescent="0.3">
      <c r="K38" s="9"/>
    </row>
    <row r="39" spans="11:11" x14ac:dyDescent="0.3">
      <c r="K39" s="9"/>
    </row>
    <row r="40" spans="11:11" x14ac:dyDescent="0.3">
      <c r="K40" s="9"/>
    </row>
    <row r="41" spans="11:11" x14ac:dyDescent="0.3">
      <c r="K41" s="9"/>
    </row>
    <row r="42" spans="11:11" x14ac:dyDescent="0.3">
      <c r="K42" s="9"/>
    </row>
    <row r="43" spans="11:11" x14ac:dyDescent="0.3">
      <c r="K43" s="9"/>
    </row>
    <row r="44" spans="11:11" x14ac:dyDescent="0.3">
      <c r="K44" s="9"/>
    </row>
    <row r="45" spans="11:11" x14ac:dyDescent="0.3">
      <c r="K45" s="9"/>
    </row>
    <row r="46" spans="11:11" x14ac:dyDescent="0.3">
      <c r="K46" s="9"/>
    </row>
    <row r="47" spans="11:11" x14ac:dyDescent="0.3">
      <c r="K47" s="9"/>
    </row>
    <row r="48" spans="11:11" x14ac:dyDescent="0.3">
      <c r="K48" s="9"/>
    </row>
    <row r="49" spans="11:11" x14ac:dyDescent="0.3">
      <c r="K49" s="9"/>
    </row>
    <row r="50" spans="11:11" x14ac:dyDescent="0.3">
      <c r="K50" s="9"/>
    </row>
    <row r="51" spans="11:11" x14ac:dyDescent="0.3">
      <c r="K51" s="9"/>
    </row>
    <row r="52" spans="11:11" x14ac:dyDescent="0.3">
      <c r="K52" s="9"/>
    </row>
    <row r="53" spans="11:11" x14ac:dyDescent="0.3">
      <c r="K53" s="9"/>
    </row>
    <row r="54" spans="11:11" x14ac:dyDescent="0.3">
      <c r="K54" s="9"/>
    </row>
    <row r="55" spans="11:11" x14ac:dyDescent="0.3">
      <c r="K55" s="9"/>
    </row>
    <row r="56" spans="11:11" x14ac:dyDescent="0.3">
      <c r="K56" s="9"/>
    </row>
    <row r="57" spans="11:11" x14ac:dyDescent="0.3">
      <c r="K57" s="9"/>
    </row>
    <row r="58" spans="11:11" x14ac:dyDescent="0.3">
      <c r="K58" s="9"/>
    </row>
    <row r="59" spans="11:11" x14ac:dyDescent="0.3">
      <c r="K59" s="9"/>
    </row>
    <row r="60" spans="11:11" x14ac:dyDescent="0.3">
      <c r="K60" s="9"/>
    </row>
    <row r="61" spans="11:11" x14ac:dyDescent="0.3">
      <c r="K61" s="9"/>
    </row>
    <row r="62" spans="11:11" x14ac:dyDescent="0.3">
      <c r="K62" s="9"/>
    </row>
    <row r="63" spans="11:11" x14ac:dyDescent="0.3">
      <c r="K63" s="9"/>
    </row>
    <row r="64" spans="11:11" x14ac:dyDescent="0.3">
      <c r="K64" s="9"/>
    </row>
    <row r="65" spans="11:11" x14ac:dyDescent="0.3">
      <c r="K65" s="9"/>
    </row>
    <row r="66" spans="11:11" x14ac:dyDescent="0.3">
      <c r="K66" s="9"/>
    </row>
    <row r="67" spans="11:11" x14ac:dyDescent="0.3">
      <c r="K67" s="9"/>
    </row>
    <row r="68" spans="11:11" x14ac:dyDescent="0.3">
      <c r="K68" s="9"/>
    </row>
    <row r="69" spans="11:11" x14ac:dyDescent="0.3">
      <c r="K69" s="9"/>
    </row>
    <row r="70" spans="11:11" x14ac:dyDescent="0.3">
      <c r="K70" s="9"/>
    </row>
    <row r="71" spans="11:11" x14ac:dyDescent="0.3">
      <c r="K71" s="9"/>
    </row>
    <row r="72" spans="11:11" x14ac:dyDescent="0.3">
      <c r="K72" s="9"/>
    </row>
    <row r="73" spans="11:11" x14ac:dyDescent="0.3">
      <c r="K73" s="9"/>
    </row>
    <row r="74" spans="11:11" x14ac:dyDescent="0.3">
      <c r="K74" s="9"/>
    </row>
    <row r="75" spans="11:11" x14ac:dyDescent="0.3">
      <c r="K75" s="9"/>
    </row>
    <row r="76" spans="11:11" x14ac:dyDescent="0.3">
      <c r="K76" s="9"/>
    </row>
    <row r="77" spans="11:11" x14ac:dyDescent="0.3">
      <c r="K77" s="9"/>
    </row>
    <row r="78" spans="11:11" x14ac:dyDescent="0.3">
      <c r="K78" s="9"/>
    </row>
    <row r="79" spans="11:11" x14ac:dyDescent="0.3">
      <c r="K79" s="9"/>
    </row>
    <row r="80" spans="11:11" x14ac:dyDescent="0.3">
      <c r="K80" s="9"/>
    </row>
    <row r="81" spans="11:11" x14ac:dyDescent="0.3">
      <c r="K81" s="9"/>
    </row>
    <row r="82" spans="11:11" x14ac:dyDescent="0.3">
      <c r="K82" s="9"/>
    </row>
    <row r="83" spans="11:11" x14ac:dyDescent="0.3">
      <c r="K83" s="9"/>
    </row>
    <row r="84" spans="11:11" x14ac:dyDescent="0.3">
      <c r="K84" s="9"/>
    </row>
    <row r="85" spans="11:11" x14ac:dyDescent="0.3">
      <c r="K85" s="9"/>
    </row>
    <row r="86" spans="11:11" x14ac:dyDescent="0.3">
      <c r="K86" s="9"/>
    </row>
    <row r="87" spans="11:11" x14ac:dyDescent="0.3">
      <c r="K87" s="9"/>
    </row>
    <row r="88" spans="11:11" x14ac:dyDescent="0.3">
      <c r="K88" s="9"/>
    </row>
    <row r="89" spans="11:11" x14ac:dyDescent="0.3">
      <c r="K89" s="9"/>
    </row>
    <row r="90" spans="11:11" x14ac:dyDescent="0.3">
      <c r="K90" s="9"/>
    </row>
    <row r="91" spans="11:11" x14ac:dyDescent="0.3">
      <c r="K91" s="9"/>
    </row>
    <row r="92" spans="11:11" x14ac:dyDescent="0.3">
      <c r="K92" s="9"/>
    </row>
    <row r="93" spans="11:11" x14ac:dyDescent="0.3">
      <c r="K93" s="9"/>
    </row>
    <row r="94" spans="11:11" x14ac:dyDescent="0.3">
      <c r="K94" s="9"/>
    </row>
    <row r="95" spans="11:11" x14ac:dyDescent="0.3">
      <c r="K95" s="9"/>
    </row>
    <row r="96" spans="11:11" x14ac:dyDescent="0.3">
      <c r="K96" s="9"/>
    </row>
    <row r="97" spans="11:11" x14ac:dyDescent="0.3">
      <c r="K97" s="9"/>
    </row>
    <row r="98" spans="11:11" x14ac:dyDescent="0.3">
      <c r="K98" s="9"/>
    </row>
    <row r="99" spans="11:11" x14ac:dyDescent="0.3">
      <c r="K99" s="9"/>
    </row>
    <row r="100" spans="11:11" x14ac:dyDescent="0.3">
      <c r="K100" s="9"/>
    </row>
    <row r="101" spans="11:11" x14ac:dyDescent="0.3">
      <c r="K101" s="9"/>
    </row>
    <row r="102" spans="11:11" x14ac:dyDescent="0.3">
      <c r="K102" s="9"/>
    </row>
    <row r="103" spans="11:11" x14ac:dyDescent="0.3">
      <c r="K103" s="9"/>
    </row>
    <row r="104" spans="11:11" x14ac:dyDescent="0.3">
      <c r="K104" s="9"/>
    </row>
    <row r="105" spans="11:11" x14ac:dyDescent="0.3">
      <c r="K105" s="9"/>
    </row>
    <row r="106" spans="11:11" x14ac:dyDescent="0.3">
      <c r="K106" s="9"/>
    </row>
    <row r="107" spans="11:11" x14ac:dyDescent="0.3">
      <c r="K107" s="9"/>
    </row>
    <row r="108" spans="11:11" x14ac:dyDescent="0.3">
      <c r="K108" s="9"/>
    </row>
    <row r="109" spans="11:11" x14ac:dyDescent="0.3">
      <c r="K109" s="9"/>
    </row>
    <row r="110" spans="11:11" x14ac:dyDescent="0.3">
      <c r="K110" s="9"/>
    </row>
    <row r="111" spans="11:11" x14ac:dyDescent="0.3">
      <c r="K111" s="9"/>
    </row>
    <row r="112" spans="11:11" x14ac:dyDescent="0.3">
      <c r="K112" s="9"/>
    </row>
    <row r="113" spans="11:11" x14ac:dyDescent="0.3">
      <c r="K113" s="9"/>
    </row>
    <row r="114" spans="11:11" x14ac:dyDescent="0.3">
      <c r="K114" s="9"/>
    </row>
    <row r="115" spans="11:11" x14ac:dyDescent="0.3">
      <c r="K115" s="9"/>
    </row>
    <row r="116" spans="11:11" x14ac:dyDescent="0.3">
      <c r="K116" s="9"/>
    </row>
    <row r="117" spans="11:11" x14ac:dyDescent="0.3">
      <c r="K117" s="9"/>
    </row>
    <row r="118" spans="11:11" x14ac:dyDescent="0.3">
      <c r="K118" s="9"/>
    </row>
    <row r="119" spans="11:11" x14ac:dyDescent="0.3">
      <c r="K119" s="9"/>
    </row>
    <row r="120" spans="11:11" x14ac:dyDescent="0.3">
      <c r="K120" s="9"/>
    </row>
    <row r="121" spans="11:11" x14ac:dyDescent="0.3">
      <c r="K121" s="9"/>
    </row>
    <row r="122" spans="11:11" x14ac:dyDescent="0.3">
      <c r="K122" s="9"/>
    </row>
    <row r="123" spans="11:11" x14ac:dyDescent="0.3">
      <c r="K123" s="9"/>
    </row>
    <row r="124" spans="11:11" x14ac:dyDescent="0.3">
      <c r="K124" s="9"/>
    </row>
    <row r="125" spans="11:11" x14ac:dyDescent="0.3">
      <c r="K125" s="9"/>
    </row>
    <row r="126" spans="11:11" x14ac:dyDescent="0.3">
      <c r="K126" s="9"/>
    </row>
    <row r="127" spans="11:11" x14ac:dyDescent="0.3">
      <c r="K127" s="9"/>
    </row>
    <row r="128" spans="11:11" x14ac:dyDescent="0.3">
      <c r="K128" s="9"/>
    </row>
    <row r="129" spans="11:11" x14ac:dyDescent="0.3">
      <c r="K129" s="9"/>
    </row>
    <row r="130" spans="11:11" x14ac:dyDescent="0.3">
      <c r="K130" s="9"/>
    </row>
    <row r="131" spans="11:11" x14ac:dyDescent="0.3">
      <c r="K131" s="9"/>
    </row>
    <row r="132" spans="11:11" x14ac:dyDescent="0.3">
      <c r="K132" s="9"/>
    </row>
    <row r="133" spans="11:11" x14ac:dyDescent="0.3">
      <c r="K133" s="9"/>
    </row>
    <row r="134" spans="11:11" x14ac:dyDescent="0.3">
      <c r="K134" s="9"/>
    </row>
    <row r="135" spans="11:11" x14ac:dyDescent="0.3">
      <c r="K135" s="9"/>
    </row>
    <row r="136" spans="11:11" x14ac:dyDescent="0.3">
      <c r="K136" s="9"/>
    </row>
    <row r="137" spans="11:11" x14ac:dyDescent="0.3">
      <c r="K137" s="9"/>
    </row>
    <row r="138" spans="11:11" x14ac:dyDescent="0.3">
      <c r="K138" s="9"/>
    </row>
    <row r="139" spans="11:11" x14ac:dyDescent="0.3">
      <c r="K139" s="9"/>
    </row>
    <row r="140" spans="11:11" x14ac:dyDescent="0.3">
      <c r="K140" s="9"/>
    </row>
    <row r="141" spans="11:11" x14ac:dyDescent="0.3">
      <c r="K141" s="9"/>
    </row>
    <row r="142" spans="11:11" x14ac:dyDescent="0.3">
      <c r="K142" s="9"/>
    </row>
    <row r="143" spans="11:11" x14ac:dyDescent="0.3">
      <c r="K143" s="9"/>
    </row>
    <row r="144" spans="11:11" x14ac:dyDescent="0.3">
      <c r="K144" s="9"/>
    </row>
    <row r="145" spans="11:11" x14ac:dyDescent="0.3">
      <c r="K145" s="9"/>
    </row>
    <row r="146" spans="11:11" x14ac:dyDescent="0.3">
      <c r="K146" s="9"/>
    </row>
    <row r="147" spans="11:11" x14ac:dyDescent="0.3">
      <c r="K147" s="9"/>
    </row>
    <row r="148" spans="11:11" x14ac:dyDescent="0.3">
      <c r="K148" s="9"/>
    </row>
    <row r="149" spans="11:11" x14ac:dyDescent="0.3">
      <c r="K149" s="9"/>
    </row>
    <row r="150" spans="11:11" x14ac:dyDescent="0.3">
      <c r="K150" s="9"/>
    </row>
    <row r="151" spans="11:11" x14ac:dyDescent="0.3">
      <c r="K151" s="9"/>
    </row>
    <row r="152" spans="11:11" x14ac:dyDescent="0.3">
      <c r="K152" s="9"/>
    </row>
    <row r="153" spans="11:11" x14ac:dyDescent="0.3">
      <c r="K153" s="9"/>
    </row>
    <row r="154" spans="11:11" x14ac:dyDescent="0.3">
      <c r="K154" s="9"/>
    </row>
    <row r="155" spans="11:11" x14ac:dyDescent="0.3">
      <c r="K155" s="9"/>
    </row>
    <row r="156" spans="11:11" x14ac:dyDescent="0.3">
      <c r="K156" s="9"/>
    </row>
    <row r="157" spans="11:11" x14ac:dyDescent="0.3">
      <c r="K157" s="9"/>
    </row>
    <row r="158" spans="11:11" x14ac:dyDescent="0.3">
      <c r="K158" s="9"/>
    </row>
    <row r="159" spans="11:11" x14ac:dyDescent="0.3">
      <c r="K159" s="9"/>
    </row>
    <row r="160" spans="11:11" x14ac:dyDescent="0.3">
      <c r="K160" s="9"/>
    </row>
    <row r="161" spans="11:11" x14ac:dyDescent="0.3">
      <c r="K161" s="9"/>
    </row>
    <row r="162" spans="11:11" x14ac:dyDescent="0.3">
      <c r="K162" s="9"/>
    </row>
    <row r="163" spans="11:11" x14ac:dyDescent="0.3">
      <c r="K163" s="9"/>
    </row>
    <row r="164" spans="11:11" x14ac:dyDescent="0.3">
      <c r="K164" s="9"/>
    </row>
    <row r="165" spans="11:11" x14ac:dyDescent="0.3">
      <c r="K165" s="9"/>
    </row>
    <row r="166" spans="11:11" x14ac:dyDescent="0.3">
      <c r="K166" s="9"/>
    </row>
    <row r="167" spans="11:11" x14ac:dyDescent="0.3">
      <c r="K167" s="9"/>
    </row>
    <row r="168" spans="11:11" x14ac:dyDescent="0.3">
      <c r="K168" s="9"/>
    </row>
    <row r="169" spans="11:11" x14ac:dyDescent="0.3">
      <c r="K169" s="9"/>
    </row>
    <row r="170" spans="11:11" x14ac:dyDescent="0.3">
      <c r="K170" s="9"/>
    </row>
    <row r="171" spans="11:11" x14ac:dyDescent="0.3">
      <c r="K171" s="9"/>
    </row>
    <row r="172" spans="11:11" x14ac:dyDescent="0.3">
      <c r="K172" s="9"/>
    </row>
    <row r="173" spans="11:11" x14ac:dyDescent="0.3">
      <c r="K173" s="9"/>
    </row>
    <row r="174" spans="11:11" x14ac:dyDescent="0.3">
      <c r="K174" s="9"/>
    </row>
    <row r="175" spans="11:11" x14ac:dyDescent="0.3">
      <c r="K175" s="9"/>
    </row>
    <row r="176" spans="11:11" x14ac:dyDescent="0.3">
      <c r="K176" s="9"/>
    </row>
    <row r="177" spans="11:11" x14ac:dyDescent="0.3">
      <c r="K177" s="9"/>
    </row>
    <row r="178" spans="11:11" x14ac:dyDescent="0.3">
      <c r="K178" s="9"/>
    </row>
    <row r="179" spans="11:11" x14ac:dyDescent="0.3">
      <c r="K179" s="9"/>
    </row>
    <row r="180" spans="11:11" x14ac:dyDescent="0.3">
      <c r="K180" s="9"/>
    </row>
    <row r="181" spans="11:11" x14ac:dyDescent="0.3">
      <c r="K181" s="9"/>
    </row>
    <row r="182" spans="11:11" x14ac:dyDescent="0.3">
      <c r="K182" s="9"/>
    </row>
    <row r="183" spans="11:11" x14ac:dyDescent="0.3">
      <c r="K183" s="9"/>
    </row>
    <row r="184" spans="11:11" x14ac:dyDescent="0.3">
      <c r="K184" s="9"/>
    </row>
    <row r="185" spans="11:11" x14ac:dyDescent="0.3">
      <c r="K185" s="9"/>
    </row>
    <row r="186" spans="11:11" x14ac:dyDescent="0.3">
      <c r="K186" s="9"/>
    </row>
    <row r="187" spans="11:11" x14ac:dyDescent="0.3">
      <c r="K187" s="9"/>
    </row>
    <row r="188" spans="11:11" x14ac:dyDescent="0.3">
      <c r="K188" s="9"/>
    </row>
    <row r="189" spans="11:11" x14ac:dyDescent="0.3">
      <c r="K189" s="9"/>
    </row>
    <row r="190" spans="11:11" x14ac:dyDescent="0.3">
      <c r="K190" s="9"/>
    </row>
    <row r="191" spans="11:11" x14ac:dyDescent="0.3">
      <c r="K191" s="9"/>
    </row>
    <row r="192" spans="11:11" x14ac:dyDescent="0.3">
      <c r="K192" s="9"/>
    </row>
    <row r="193" spans="11:11" x14ac:dyDescent="0.3">
      <c r="K193" s="9"/>
    </row>
    <row r="194" spans="11:11" x14ac:dyDescent="0.3">
      <c r="K194" s="9"/>
    </row>
    <row r="195" spans="11:11" x14ac:dyDescent="0.3">
      <c r="K195" s="9"/>
    </row>
    <row r="196" spans="11:11" x14ac:dyDescent="0.3">
      <c r="K196" s="9"/>
    </row>
    <row r="197" spans="11:11" x14ac:dyDescent="0.3">
      <c r="K197" s="9"/>
    </row>
    <row r="198" spans="11:11" x14ac:dyDescent="0.3">
      <c r="K198" s="9"/>
    </row>
    <row r="199" spans="11:11" x14ac:dyDescent="0.3">
      <c r="K199" s="9"/>
    </row>
    <row r="200" spans="11:11" x14ac:dyDescent="0.3">
      <c r="K200" s="9"/>
    </row>
    <row r="201" spans="11:11" x14ac:dyDescent="0.3">
      <c r="K201" s="9"/>
    </row>
    <row r="202" spans="11:11" x14ac:dyDescent="0.3">
      <c r="K202" s="9"/>
    </row>
    <row r="203" spans="11:11" x14ac:dyDescent="0.3">
      <c r="K203" s="9"/>
    </row>
    <row r="204" spans="11:11" x14ac:dyDescent="0.3">
      <c r="K204" s="9"/>
    </row>
    <row r="205" spans="11:11" x14ac:dyDescent="0.3">
      <c r="K205" s="9"/>
    </row>
    <row r="206" spans="11:11" x14ac:dyDescent="0.3">
      <c r="K206" s="9"/>
    </row>
    <row r="207" spans="11:11" x14ac:dyDescent="0.3">
      <c r="K207" s="9"/>
    </row>
    <row r="208" spans="11:11" x14ac:dyDescent="0.3">
      <c r="K208" s="9"/>
    </row>
    <row r="209" spans="11:11" x14ac:dyDescent="0.3">
      <c r="K209" s="9"/>
    </row>
    <row r="210" spans="11:11" x14ac:dyDescent="0.3">
      <c r="K210" s="9"/>
    </row>
    <row r="211" spans="11:11" x14ac:dyDescent="0.3">
      <c r="K211" s="9"/>
    </row>
    <row r="212" spans="11:11" x14ac:dyDescent="0.3">
      <c r="K212" s="9"/>
    </row>
    <row r="213" spans="11:11" x14ac:dyDescent="0.3">
      <c r="K213" s="9"/>
    </row>
    <row r="214" spans="11:11" x14ac:dyDescent="0.3">
      <c r="K214" s="9"/>
    </row>
    <row r="215" spans="11:11" x14ac:dyDescent="0.3">
      <c r="K215" s="9"/>
    </row>
    <row r="216" spans="11:11" x14ac:dyDescent="0.3">
      <c r="K216" s="9"/>
    </row>
    <row r="217" spans="11:11" x14ac:dyDescent="0.3">
      <c r="K217" s="9"/>
    </row>
    <row r="218" spans="11:11" x14ac:dyDescent="0.3">
      <c r="K218" s="9"/>
    </row>
    <row r="219" spans="11:11" x14ac:dyDescent="0.3">
      <c r="K219" s="9"/>
    </row>
    <row r="220" spans="11:11" x14ac:dyDescent="0.3">
      <c r="K220" s="9"/>
    </row>
    <row r="221" spans="11:11" x14ac:dyDescent="0.3">
      <c r="K221" s="9"/>
    </row>
    <row r="222" spans="11:11" x14ac:dyDescent="0.3">
      <c r="K222" s="9"/>
    </row>
    <row r="223" spans="11:11" x14ac:dyDescent="0.3">
      <c r="K223" s="9"/>
    </row>
    <row r="224" spans="11:11" x14ac:dyDescent="0.3">
      <c r="K224" s="9"/>
    </row>
    <row r="225" spans="11:11" x14ac:dyDescent="0.3">
      <c r="K225" s="9"/>
    </row>
    <row r="226" spans="11:11" x14ac:dyDescent="0.3">
      <c r="K226" s="9"/>
    </row>
    <row r="227" spans="11:11" x14ac:dyDescent="0.3">
      <c r="K227" s="9"/>
    </row>
    <row r="228" spans="11:11" x14ac:dyDescent="0.3">
      <c r="K228" s="9"/>
    </row>
    <row r="229" spans="11:11" x14ac:dyDescent="0.3">
      <c r="K229" s="9"/>
    </row>
    <row r="230" spans="11:11" x14ac:dyDescent="0.3">
      <c r="K230" s="9"/>
    </row>
    <row r="231" spans="11:11" x14ac:dyDescent="0.3">
      <c r="K231" s="9"/>
    </row>
    <row r="232" spans="11:11" x14ac:dyDescent="0.3">
      <c r="K232" s="9"/>
    </row>
    <row r="233" spans="11:11" x14ac:dyDescent="0.3">
      <c r="K233" s="9"/>
    </row>
    <row r="234" spans="11:11" x14ac:dyDescent="0.3">
      <c r="K234" s="9"/>
    </row>
    <row r="235" spans="11:11" x14ac:dyDescent="0.3">
      <c r="K235" s="9"/>
    </row>
    <row r="236" spans="11:11" x14ac:dyDescent="0.3">
      <c r="K236" s="9"/>
    </row>
    <row r="237" spans="11:11" x14ac:dyDescent="0.3">
      <c r="K237" s="9"/>
    </row>
    <row r="238" spans="11:11" x14ac:dyDescent="0.3">
      <c r="K238" s="9"/>
    </row>
    <row r="239" spans="11:11" x14ac:dyDescent="0.3">
      <c r="K239" s="9"/>
    </row>
    <row r="240" spans="11:11" x14ac:dyDescent="0.3">
      <c r="K240" s="9"/>
    </row>
    <row r="241" spans="11:11" x14ac:dyDescent="0.3">
      <c r="K241" s="9"/>
    </row>
    <row r="242" spans="11:11" x14ac:dyDescent="0.3">
      <c r="K242" s="9"/>
    </row>
    <row r="243" spans="11:11" x14ac:dyDescent="0.3">
      <c r="K243" s="9"/>
    </row>
    <row r="244" spans="11:11" x14ac:dyDescent="0.3">
      <c r="K244" s="9"/>
    </row>
    <row r="245" spans="11:11" x14ac:dyDescent="0.3">
      <c r="K245" s="9"/>
    </row>
    <row r="246" spans="11:11" x14ac:dyDescent="0.3">
      <c r="K246" s="9"/>
    </row>
    <row r="247" spans="11:11" x14ac:dyDescent="0.3">
      <c r="K247" s="9"/>
    </row>
    <row r="248" spans="11:11" x14ac:dyDescent="0.3">
      <c r="K248" s="9"/>
    </row>
    <row r="249" spans="11:11" x14ac:dyDescent="0.3">
      <c r="K249" s="9"/>
    </row>
    <row r="250" spans="11:11" x14ac:dyDescent="0.3">
      <c r="K250" s="9"/>
    </row>
    <row r="251" spans="11:11" x14ac:dyDescent="0.3">
      <c r="K251" s="9"/>
    </row>
    <row r="252" spans="11:11" x14ac:dyDescent="0.3">
      <c r="K252" s="9"/>
    </row>
    <row r="253" spans="11:11" x14ac:dyDescent="0.3">
      <c r="K253" s="9"/>
    </row>
    <row r="254" spans="11:11" x14ac:dyDescent="0.3">
      <c r="K254" s="9"/>
    </row>
    <row r="255" spans="11:11" x14ac:dyDescent="0.3">
      <c r="K255" s="9"/>
    </row>
    <row r="256" spans="11:11" x14ac:dyDescent="0.3">
      <c r="K256" s="9"/>
    </row>
    <row r="257" spans="11:11" x14ac:dyDescent="0.3">
      <c r="K257" s="9"/>
    </row>
    <row r="258" spans="11:11" x14ac:dyDescent="0.3">
      <c r="K258" s="9"/>
    </row>
    <row r="259" spans="11:11" x14ac:dyDescent="0.3">
      <c r="K259" s="9"/>
    </row>
    <row r="260" spans="11:11" x14ac:dyDescent="0.3">
      <c r="K260" s="9"/>
    </row>
    <row r="261" spans="11:11" x14ac:dyDescent="0.3">
      <c r="K261" s="9"/>
    </row>
    <row r="262" spans="11:11" x14ac:dyDescent="0.3">
      <c r="K262" s="9"/>
    </row>
    <row r="263" spans="11:11" x14ac:dyDescent="0.3">
      <c r="K263" s="9"/>
    </row>
    <row r="264" spans="11:11" x14ac:dyDescent="0.3">
      <c r="K264" s="9"/>
    </row>
    <row r="265" spans="11:11" x14ac:dyDescent="0.3">
      <c r="K265" s="9"/>
    </row>
    <row r="266" spans="11:11" x14ac:dyDescent="0.3">
      <c r="K266" s="9"/>
    </row>
    <row r="267" spans="11:11" x14ac:dyDescent="0.3">
      <c r="K267" s="9"/>
    </row>
    <row r="268" spans="11:11" x14ac:dyDescent="0.3">
      <c r="K268" s="9"/>
    </row>
    <row r="269" spans="11:11" x14ac:dyDescent="0.3">
      <c r="K269" s="9"/>
    </row>
    <row r="270" spans="11:11" x14ac:dyDescent="0.3">
      <c r="K270" s="9"/>
    </row>
    <row r="271" spans="11:11" x14ac:dyDescent="0.3">
      <c r="K271" s="9"/>
    </row>
    <row r="272" spans="11:11" x14ac:dyDescent="0.3">
      <c r="K272" s="9"/>
    </row>
    <row r="273" spans="11:11" x14ac:dyDescent="0.3">
      <c r="K273" s="9"/>
    </row>
    <row r="274" spans="11:11" x14ac:dyDescent="0.3">
      <c r="K274" s="9"/>
    </row>
    <row r="275" spans="11:11" x14ac:dyDescent="0.3">
      <c r="K275" s="9"/>
    </row>
    <row r="276" spans="11:11" x14ac:dyDescent="0.3">
      <c r="K276" s="9"/>
    </row>
    <row r="277" spans="11:11" x14ac:dyDescent="0.3">
      <c r="K277" s="9"/>
    </row>
    <row r="278" spans="11:11" x14ac:dyDescent="0.3">
      <c r="K278" s="9"/>
    </row>
    <row r="279" spans="11:11" x14ac:dyDescent="0.3">
      <c r="K279" s="9"/>
    </row>
    <row r="280" spans="11:11" x14ac:dyDescent="0.3">
      <c r="K280" s="9"/>
    </row>
    <row r="281" spans="11:11" x14ac:dyDescent="0.3">
      <c r="K281" s="9"/>
    </row>
    <row r="282" spans="11:11" x14ac:dyDescent="0.3">
      <c r="K282" s="9"/>
    </row>
    <row r="283" spans="11:11" x14ac:dyDescent="0.3">
      <c r="K283" s="9"/>
    </row>
    <row r="284" spans="11:11" x14ac:dyDescent="0.3">
      <c r="K284" s="9"/>
    </row>
    <row r="285" spans="11:11" x14ac:dyDescent="0.3">
      <c r="K285" s="9"/>
    </row>
    <row r="286" spans="11:11" x14ac:dyDescent="0.3">
      <c r="K286" s="9"/>
    </row>
    <row r="287" spans="11:11" x14ac:dyDescent="0.3">
      <c r="K287" s="9"/>
    </row>
    <row r="288" spans="11:11" x14ac:dyDescent="0.3">
      <c r="K288" s="9"/>
    </row>
    <row r="289" spans="11:11" x14ac:dyDescent="0.3">
      <c r="K289" s="9"/>
    </row>
    <row r="290" spans="11:11" x14ac:dyDescent="0.3">
      <c r="K290" s="9"/>
    </row>
    <row r="291" spans="11:11" x14ac:dyDescent="0.3">
      <c r="K291" s="9"/>
    </row>
    <row r="292" spans="11:11" x14ac:dyDescent="0.3">
      <c r="K292" s="9"/>
    </row>
    <row r="293" spans="11:11" x14ac:dyDescent="0.3">
      <c r="K293" s="9"/>
    </row>
    <row r="294" spans="11:11" x14ac:dyDescent="0.3">
      <c r="K294" s="9"/>
    </row>
    <row r="295" spans="11:11" x14ac:dyDescent="0.3">
      <c r="K295" s="9"/>
    </row>
    <row r="296" spans="11:11" x14ac:dyDescent="0.3">
      <c r="K296" s="9"/>
    </row>
    <row r="297" spans="11:11" x14ac:dyDescent="0.3">
      <c r="K297" s="9"/>
    </row>
    <row r="298" spans="11:11" x14ac:dyDescent="0.3">
      <c r="K298" s="9"/>
    </row>
    <row r="299" spans="11:11" x14ac:dyDescent="0.3">
      <c r="K299" s="9"/>
    </row>
    <row r="300" spans="11:11" x14ac:dyDescent="0.3">
      <c r="K300" s="9"/>
    </row>
    <row r="301" spans="11:11" x14ac:dyDescent="0.3">
      <c r="K301" s="9"/>
    </row>
    <row r="302" spans="11:11" x14ac:dyDescent="0.3">
      <c r="K302" s="9"/>
    </row>
    <row r="303" spans="11:11" x14ac:dyDescent="0.3">
      <c r="K303" s="9"/>
    </row>
    <row r="304" spans="11:11" x14ac:dyDescent="0.3">
      <c r="K304" s="9"/>
    </row>
    <row r="305" spans="11:11" x14ac:dyDescent="0.3">
      <c r="K305" s="9"/>
    </row>
    <row r="306" spans="11:11" x14ac:dyDescent="0.3">
      <c r="K306" s="9"/>
    </row>
    <row r="307" spans="11:11" x14ac:dyDescent="0.3">
      <c r="K307" s="9"/>
    </row>
    <row r="308" spans="11:11" x14ac:dyDescent="0.3">
      <c r="K308" s="9"/>
    </row>
    <row r="309" spans="11:11" x14ac:dyDescent="0.3">
      <c r="K309" s="9"/>
    </row>
    <row r="310" spans="11:11" x14ac:dyDescent="0.3">
      <c r="K310" s="9"/>
    </row>
    <row r="311" spans="11:11" x14ac:dyDescent="0.3">
      <c r="K311" s="9"/>
    </row>
    <row r="312" spans="11:11" x14ac:dyDescent="0.3">
      <c r="K312" s="9"/>
    </row>
    <row r="313" spans="11:11" x14ac:dyDescent="0.3">
      <c r="K313" s="9"/>
    </row>
    <row r="314" spans="11:11" x14ac:dyDescent="0.3">
      <c r="K314" s="9"/>
    </row>
    <row r="315" spans="11:11" x14ac:dyDescent="0.3">
      <c r="K315" s="9"/>
    </row>
    <row r="316" spans="11:11" x14ac:dyDescent="0.3">
      <c r="K316" s="9"/>
    </row>
    <row r="317" spans="11:11" x14ac:dyDescent="0.3">
      <c r="K317" s="9"/>
    </row>
    <row r="318" spans="11:11" x14ac:dyDescent="0.3">
      <c r="K318" s="9"/>
    </row>
    <row r="319" spans="11:11" x14ac:dyDescent="0.3">
      <c r="K319" s="9"/>
    </row>
    <row r="320" spans="11:11" x14ac:dyDescent="0.3">
      <c r="K320" s="9"/>
    </row>
    <row r="321" spans="11:11" x14ac:dyDescent="0.3">
      <c r="K321" s="9"/>
    </row>
    <row r="322" spans="11:11" x14ac:dyDescent="0.3">
      <c r="K322" s="9"/>
    </row>
    <row r="323" spans="11:11" x14ac:dyDescent="0.3">
      <c r="K323" s="9"/>
    </row>
    <row r="324" spans="11:11" x14ac:dyDescent="0.3">
      <c r="K324" s="9"/>
    </row>
    <row r="325" spans="11:11" x14ac:dyDescent="0.3">
      <c r="K325" s="9"/>
    </row>
    <row r="326" spans="11:11" x14ac:dyDescent="0.3">
      <c r="K326" s="9"/>
    </row>
    <row r="327" spans="11:11" x14ac:dyDescent="0.3">
      <c r="K327" s="9"/>
    </row>
    <row r="328" spans="11:11" x14ac:dyDescent="0.3">
      <c r="K328" s="9"/>
    </row>
    <row r="329" spans="11:11" x14ac:dyDescent="0.3">
      <c r="K329" s="9"/>
    </row>
    <row r="330" spans="11:11" x14ac:dyDescent="0.3">
      <c r="K330" s="9"/>
    </row>
    <row r="331" spans="11:11" x14ac:dyDescent="0.3">
      <c r="K331" s="9"/>
    </row>
    <row r="332" spans="11:11" x14ac:dyDescent="0.3">
      <c r="K332" s="9"/>
    </row>
    <row r="333" spans="11:11" x14ac:dyDescent="0.3">
      <c r="K333" s="9"/>
    </row>
    <row r="334" spans="11:11" x14ac:dyDescent="0.3">
      <c r="K334" s="9"/>
    </row>
    <row r="335" spans="11:11" x14ac:dyDescent="0.3">
      <c r="K335" s="9"/>
    </row>
    <row r="336" spans="11:11" x14ac:dyDescent="0.3">
      <c r="K336" s="9"/>
    </row>
    <row r="337" spans="11:11" x14ac:dyDescent="0.3">
      <c r="K337" s="9"/>
    </row>
    <row r="338" spans="11:11" x14ac:dyDescent="0.3">
      <c r="K338" s="9"/>
    </row>
    <row r="339" spans="11:11" x14ac:dyDescent="0.3">
      <c r="K339" s="9"/>
    </row>
    <row r="340" spans="11:11" x14ac:dyDescent="0.3">
      <c r="K340" s="9"/>
    </row>
    <row r="341" spans="11:11" x14ac:dyDescent="0.3">
      <c r="K341" s="9"/>
    </row>
    <row r="342" spans="11:11" x14ac:dyDescent="0.3">
      <c r="K342" s="9"/>
    </row>
    <row r="343" spans="11:11" x14ac:dyDescent="0.3">
      <c r="K343" s="9"/>
    </row>
    <row r="344" spans="11:11" x14ac:dyDescent="0.3">
      <c r="K344" s="9"/>
    </row>
    <row r="345" spans="11:11" x14ac:dyDescent="0.3">
      <c r="K345" s="9"/>
    </row>
    <row r="346" spans="11:11" x14ac:dyDescent="0.3">
      <c r="K346" s="9"/>
    </row>
    <row r="347" spans="11:11" x14ac:dyDescent="0.3">
      <c r="K347" s="9"/>
    </row>
    <row r="348" spans="11:11" x14ac:dyDescent="0.3">
      <c r="K348" s="9"/>
    </row>
    <row r="349" spans="11:11" x14ac:dyDescent="0.3">
      <c r="K349" s="9"/>
    </row>
    <row r="350" spans="11:11" x14ac:dyDescent="0.3">
      <c r="K350" s="9"/>
    </row>
    <row r="351" spans="11:11" x14ac:dyDescent="0.3">
      <c r="K351" s="9"/>
    </row>
    <row r="352" spans="11:11" x14ac:dyDescent="0.3">
      <c r="K352" s="9"/>
    </row>
    <row r="353" spans="11:11" x14ac:dyDescent="0.3">
      <c r="K353" s="9"/>
    </row>
    <row r="354" spans="11:11" x14ac:dyDescent="0.3">
      <c r="K354" s="9"/>
    </row>
    <row r="355" spans="11:11" x14ac:dyDescent="0.3">
      <c r="K355" s="9"/>
    </row>
    <row r="356" spans="11:11" x14ac:dyDescent="0.3">
      <c r="K356" s="9"/>
    </row>
    <row r="357" spans="11:11" x14ac:dyDescent="0.3">
      <c r="K357" s="9"/>
    </row>
    <row r="358" spans="11:11" x14ac:dyDescent="0.3">
      <c r="K358" s="9"/>
    </row>
    <row r="359" spans="11:11" x14ac:dyDescent="0.3">
      <c r="K359" s="9"/>
    </row>
    <row r="360" spans="11:11" x14ac:dyDescent="0.3">
      <c r="K360" s="9"/>
    </row>
    <row r="361" spans="11:11" x14ac:dyDescent="0.3">
      <c r="K361" s="9"/>
    </row>
    <row r="362" spans="11:11" x14ac:dyDescent="0.3">
      <c r="K362" s="9"/>
    </row>
    <row r="363" spans="11:11" x14ac:dyDescent="0.3">
      <c r="K363" s="9"/>
    </row>
    <row r="364" spans="11:11" x14ac:dyDescent="0.3">
      <c r="K364" s="9"/>
    </row>
    <row r="365" spans="11:11" x14ac:dyDescent="0.3">
      <c r="K365" s="9"/>
    </row>
    <row r="366" spans="11:11" x14ac:dyDescent="0.3">
      <c r="K366" s="9"/>
    </row>
    <row r="367" spans="11:11" x14ac:dyDescent="0.3">
      <c r="K367" s="9"/>
    </row>
    <row r="368" spans="11:11" x14ac:dyDescent="0.3">
      <c r="K368" s="9"/>
    </row>
    <row r="369" spans="11:11" x14ac:dyDescent="0.3">
      <c r="K369" s="9"/>
    </row>
    <row r="370" spans="11:11" x14ac:dyDescent="0.3">
      <c r="K370" s="9"/>
    </row>
    <row r="371" spans="11:11" x14ac:dyDescent="0.3">
      <c r="K371" s="9"/>
    </row>
    <row r="372" spans="11:11" x14ac:dyDescent="0.3">
      <c r="K372" s="9"/>
    </row>
    <row r="373" spans="11:11" x14ac:dyDescent="0.3">
      <c r="K373" s="9"/>
    </row>
    <row r="374" spans="11:11" x14ac:dyDescent="0.3">
      <c r="K374" s="9"/>
    </row>
    <row r="375" spans="11:11" x14ac:dyDescent="0.3">
      <c r="K375" s="9"/>
    </row>
    <row r="376" spans="11:11" x14ac:dyDescent="0.3">
      <c r="K376" s="9"/>
    </row>
    <row r="377" spans="11:11" x14ac:dyDescent="0.3">
      <c r="K377" s="9"/>
    </row>
    <row r="378" spans="11:11" x14ac:dyDescent="0.3">
      <c r="K378" s="9"/>
    </row>
    <row r="379" spans="11:11" x14ac:dyDescent="0.3">
      <c r="K379" s="9"/>
    </row>
    <row r="380" spans="11:11" x14ac:dyDescent="0.3">
      <c r="K380" s="9"/>
    </row>
    <row r="381" spans="11:11" x14ac:dyDescent="0.3">
      <c r="K381" s="9"/>
    </row>
    <row r="382" spans="11:11" x14ac:dyDescent="0.3">
      <c r="K382" s="9"/>
    </row>
    <row r="383" spans="11:11" x14ac:dyDescent="0.3">
      <c r="K383" s="9"/>
    </row>
    <row r="384" spans="11:11" x14ac:dyDescent="0.3">
      <c r="K384" s="9"/>
    </row>
    <row r="385" spans="11:11" x14ac:dyDescent="0.3">
      <c r="K385" s="9"/>
    </row>
    <row r="386" spans="11:11" x14ac:dyDescent="0.3">
      <c r="K386" s="9"/>
    </row>
    <row r="387" spans="11:11" x14ac:dyDescent="0.3">
      <c r="K387" s="9"/>
    </row>
    <row r="388" spans="11:11" x14ac:dyDescent="0.3">
      <c r="K388" s="9"/>
    </row>
    <row r="389" spans="11:11" x14ac:dyDescent="0.3">
      <c r="K389" s="9"/>
    </row>
    <row r="390" spans="11:11" x14ac:dyDescent="0.3">
      <c r="K390" s="9"/>
    </row>
    <row r="391" spans="11:11" x14ac:dyDescent="0.3">
      <c r="K391" s="9"/>
    </row>
    <row r="392" spans="11:11" x14ac:dyDescent="0.3">
      <c r="K392" s="9"/>
    </row>
    <row r="393" spans="11:11" x14ac:dyDescent="0.3">
      <c r="K393" s="9"/>
    </row>
    <row r="394" spans="11:11" x14ac:dyDescent="0.3">
      <c r="K394" s="9"/>
    </row>
    <row r="395" spans="11:11" x14ac:dyDescent="0.3">
      <c r="K395" s="9"/>
    </row>
    <row r="396" spans="11:11" x14ac:dyDescent="0.3">
      <c r="K396" s="9"/>
    </row>
    <row r="397" spans="11:11" x14ac:dyDescent="0.3">
      <c r="K397" s="9"/>
    </row>
    <row r="398" spans="11:11" x14ac:dyDescent="0.3">
      <c r="K398" s="9"/>
    </row>
  </sheetData>
  <sheetProtection algorithmName="SHA-512" hashValue="m/csT9bRzyTZJs+mz69kSPXa3lXaJSo0SA3LOx2aOOj+itBSzAPq5g0AzV+3cEDElGym3t/Sniv01wBIf8XACw==" saltValue="hUpLJPQ3V/tWERjV5Zwx/Q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4C62-6210-4994-A3E0-0D0A31853106}">
  <sheetPr codeName="Sheet2"/>
  <dimension ref="A1:G5"/>
  <sheetViews>
    <sheetView rightToLeft="1" zoomScale="115" zoomScaleNormal="115" workbookViewId="0">
      <selection activeCell="E6" sqref="E6"/>
    </sheetView>
  </sheetViews>
  <sheetFormatPr defaultRowHeight="14.4" x14ac:dyDescent="0.3"/>
  <cols>
    <col min="1" max="1" width="20.88671875" style="6" customWidth="1"/>
    <col min="2" max="2" width="12.88671875" style="6" bestFit="1" customWidth="1"/>
    <col min="3" max="3" width="4.5546875" style="6" bestFit="1" customWidth="1"/>
    <col min="4" max="4" width="9.33203125" style="6" customWidth="1"/>
    <col min="5" max="5" width="10" style="3" bestFit="1" customWidth="1"/>
    <col min="6" max="6" width="4.21875" style="1" bestFit="1" customWidth="1"/>
    <col min="7" max="7" width="4.5546875" style="1" bestFit="1" customWidth="1"/>
    <col min="8" max="16384" width="8.88671875" style="1"/>
  </cols>
  <sheetData>
    <row r="1" spans="1:7" x14ac:dyDescent="0.3">
      <c r="A1" s="2" t="s">
        <v>1</v>
      </c>
      <c r="B1" s="2" t="s">
        <v>2</v>
      </c>
      <c r="C1" s="2" t="s">
        <v>11</v>
      </c>
      <c r="D1" s="2" t="s">
        <v>9</v>
      </c>
      <c r="E1" s="2" t="s">
        <v>18</v>
      </c>
      <c r="F1" s="4" t="s">
        <v>12</v>
      </c>
      <c r="G1" s="4" t="s">
        <v>13</v>
      </c>
    </row>
    <row r="2" spans="1:7" x14ac:dyDescent="0.3">
      <c r="A2" s="7" t="str" cm="1">
        <f t="array" aca="1" ref="A2:D5" ca="1">_xlfn._xlws.SORT(
   _xlfn._xlws.FILTER(
      CHOOSE(
         {1,2,3,4},
         INDIRECT("DataBase!B1:B" &amp; DataBase!$R$2),
         INDIRECT("DataBase!C1:C" &amp; DataBase!$R$2),
         IF(INDIRECT("DataBase!I1:I" &amp; DataBase!$R$2)=F2, INDIRECT("DataBase!K1:K" &amp; DataBase!$R$2), INDIRECT("DataBase!N1:N" &amp; DataBase!$R$2)),
         IF(INDIRECT("DataBase!I1:I" &amp; DataBase!$R$2)=F2, INDIRECT("DataBase!J1:J" &amp; DataBase!$R$2), INDIRECT("DataBase!M1:M" &amp; DataBase!$R$2))
      ),
      ((INDIRECT("DataBase!I1:I" &amp; DataBase!$R$2)=F2) + (INDIRECT("DataBase!L1:L" &amp; DataBase!$R$2)=F2)) * (INDIRECT("DataBase!H1:H" &amp; DataBase!$R$2)=G2),
      "موردی یافت نشد"
   ),
   3, TRUE
)</f>
        <v>مهدی اسدزاده</v>
      </c>
      <c r="B2" s="7" t="str">
        <f ca="1"/>
        <v>تهران الف</v>
      </c>
      <c r="C2" s="7">
        <f ca="1"/>
        <v>0</v>
      </c>
      <c r="D2" s="7">
        <f ca="1"/>
        <v>0</v>
      </c>
      <c r="F2" s="3" t="s">
        <v>15</v>
      </c>
      <c r="G2" s="3">
        <v>1</v>
      </c>
    </row>
    <row r="3" spans="1:7" x14ac:dyDescent="0.3">
      <c r="A3" s="7" t="str">
        <f ca="1"/>
        <v>نادر ناصری</v>
      </c>
      <c r="B3" s="7" t="str">
        <f ca="1"/>
        <v>تهران ب</v>
      </c>
      <c r="C3" s="7">
        <f ca="1"/>
        <v>0</v>
      </c>
      <c r="D3" s="7">
        <f ca="1"/>
        <v>0</v>
      </c>
    </row>
    <row r="4" spans="1:7" x14ac:dyDescent="0.3">
      <c r="A4" s="7" t="str">
        <f ca="1"/>
        <v>سعید چیت ساز</v>
      </c>
      <c r="B4" s="7" t="str">
        <f ca="1"/>
        <v>تهران ب</v>
      </c>
      <c r="C4" s="7">
        <f ca="1"/>
        <v>0</v>
      </c>
      <c r="D4" s="7">
        <f ca="1"/>
        <v>0</v>
      </c>
    </row>
    <row r="5" spans="1:7" x14ac:dyDescent="0.3">
      <c r="A5" s="6" t="str">
        <f ca="1"/>
        <v>سلیمان سارایی</v>
      </c>
      <c r="B5" s="6" t="str">
        <f ca="1"/>
        <v>البرز</v>
      </c>
      <c r="C5" s="6">
        <f ca="1"/>
        <v>1</v>
      </c>
      <c r="D5" s="6">
        <f ca="1"/>
        <v>500</v>
      </c>
      <c r="E5" s="3">
        <v>500</v>
      </c>
    </row>
  </sheetData>
  <sheetProtection algorithmName="SHA-512" hashValue="cTbO8K9qav55YzdmqwJ0I1HphRuXUuqWaM7ZDZZD9k7Ui6bk+jD67IeELXjOd7GKUCyEooeEz2wrG75gXlADXw==" saltValue="fjmRNQLIEo3jO+sFNrRflQ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DBF9-03DC-460D-A306-BF9EC28471CF}">
  <sheetPr codeName="Sheet3"/>
  <dimension ref="A1:M38"/>
  <sheetViews>
    <sheetView rightToLeft="1" tabSelected="1" zoomScale="85" zoomScaleNormal="131" workbookViewId="0">
      <selection activeCell="N7" sqref="N7"/>
    </sheetView>
  </sheetViews>
  <sheetFormatPr defaultRowHeight="14.4" x14ac:dyDescent="0.3"/>
  <cols>
    <col min="1" max="1" width="12.6640625" style="12" customWidth="1"/>
    <col min="2" max="8" width="8.88671875" style="1"/>
    <col min="9" max="9" width="13.88671875" style="12" customWidth="1"/>
    <col min="10" max="13" width="8.88671875" style="12"/>
    <col min="14" max="16384" width="8.88671875" style="1"/>
  </cols>
  <sheetData>
    <row r="1" spans="1:13" x14ac:dyDescent="0.3">
      <c r="A1" s="2" t="s">
        <v>2</v>
      </c>
      <c r="B1" s="2" t="s">
        <v>77</v>
      </c>
      <c r="C1" s="2" t="s">
        <v>76</v>
      </c>
      <c r="D1" s="2" t="s">
        <v>78</v>
      </c>
      <c r="E1" s="2" t="s">
        <v>17</v>
      </c>
      <c r="I1" s="2" t="s">
        <v>2</v>
      </c>
      <c r="J1" s="2" t="s">
        <v>77</v>
      </c>
      <c r="K1" s="2" t="s">
        <v>76</v>
      </c>
      <c r="L1" s="2" t="s">
        <v>78</v>
      </c>
      <c r="M1" s="2" t="s">
        <v>17</v>
      </c>
    </row>
    <row r="2" spans="1:13" x14ac:dyDescent="0.3">
      <c r="A2" s="12" t="s">
        <v>57</v>
      </c>
      <c r="B2" s="6" cm="1">
        <f t="array" aca="1" ref="B2:B4" ca="1">COUNTIFS(DataBase!C:C, INDEX(A:A, _xlfn.SEQUENCE(DataBase!Q2, 1, 2)), DataBase!K:K, 1) + COUNTIFS(DataBase!C:C, INDEX(A:A, _xlfn.SEQUENCE(DataBase!Q2, 1, 2)), DataBase!N:N, 1)</f>
        <v>1</v>
      </c>
      <c r="C2" s="6" cm="1">
        <f t="array" aca="1" ref="C2:C4" ca="1">COUNTIFS(DataBase!C:C, INDEX(A:A, _xlfn.SEQUENCE(DataBase!Q2, 1, 2)), DataBase!K:K, 2) + COUNTIFS(DataBase!C:C, INDEX(A:A, _xlfn.SEQUENCE(DataBase!Q2, 1, 2)), DataBase!N:N, 2)</f>
        <v>1</v>
      </c>
      <c r="D2" s="6" cm="1">
        <f t="array" aca="1" ref="D2:D4" ca="1">COUNTIFS(DataBase!C:C, INDEX(A:A, _xlfn.SEQUENCE(DataBase!Q2, 1, 2)), DataBase!K:K, 3) + COUNTIFS(DataBase!C:C, INDEX(A:A, _xlfn.SEQUENCE(DataBase!Q2, 1, 2)), DataBase!N:N, 3)</f>
        <v>0</v>
      </c>
      <c r="E2" s="6" cm="1">
        <f t="array" aca="1" ref="E2:E4" ca="1">INDEX(B:B, _xlfn.SEQUENCE(DataBase!Q2, 1, 2)) + INDEX(C:C, _xlfn.SEQUENCE(DataBase!Q2, 1, 2)) + INDEX(D:D, _xlfn.SEQUENCE(DataBase!Q2, 1, 2))</f>
        <v>2</v>
      </c>
      <c r="I2" s="7" t="str" cm="1">
        <f t="array" aca="1" ref="I2:M4" ca="1">_xlfn._xlws.SORT(_xlfn._xlws.FILTER(A2:E100, B2:B100*10000 + C2:C100*100 + D2:D100 &gt;= LARGE(B2:B100*10000 + C2:C100*100 + D2:D100, 3)), {2,3,4}, -1)</f>
        <v>تهران الف</v>
      </c>
      <c r="J2" s="7">
        <f ca="1"/>
        <v>1</v>
      </c>
      <c r="K2" s="7">
        <f ca="1"/>
        <v>1</v>
      </c>
      <c r="L2" s="7">
        <f ca="1"/>
        <v>0</v>
      </c>
      <c r="M2" s="7">
        <f ca="1"/>
        <v>2</v>
      </c>
    </row>
    <row r="3" spans="1:13" x14ac:dyDescent="0.3">
      <c r="A3" s="12" t="s">
        <v>58</v>
      </c>
      <c r="B3" s="6">
        <f ca="1"/>
        <v>1</v>
      </c>
      <c r="C3" s="6">
        <f ca="1"/>
        <v>0</v>
      </c>
      <c r="D3" s="6">
        <f ca="1"/>
        <v>1</v>
      </c>
      <c r="E3" s="6">
        <f ca="1"/>
        <v>2</v>
      </c>
      <c r="I3" s="13" t="str">
        <f ca="1"/>
        <v>تهران ب</v>
      </c>
      <c r="J3" s="13">
        <f ca="1"/>
        <v>1</v>
      </c>
      <c r="K3" s="13">
        <f ca="1"/>
        <v>0</v>
      </c>
      <c r="L3" s="13">
        <f ca="1"/>
        <v>1</v>
      </c>
      <c r="M3" s="13">
        <f ca="1"/>
        <v>2</v>
      </c>
    </row>
    <row r="4" spans="1:13" x14ac:dyDescent="0.3">
      <c r="A4" s="12" t="s">
        <v>62</v>
      </c>
      <c r="B4" s="6">
        <f ca="1"/>
        <v>1</v>
      </c>
      <c r="C4" s="6">
        <f ca="1"/>
        <v>0</v>
      </c>
      <c r="D4" s="6">
        <f ca="1"/>
        <v>0</v>
      </c>
      <c r="E4" s="6">
        <f ca="1"/>
        <v>1</v>
      </c>
      <c r="I4" s="8" t="str">
        <f ca="1"/>
        <v>البرز</v>
      </c>
      <c r="J4" s="8">
        <f ca="1"/>
        <v>1</v>
      </c>
      <c r="K4" s="8">
        <f ca="1"/>
        <v>0</v>
      </c>
      <c r="L4" s="8">
        <f ca="1"/>
        <v>0</v>
      </c>
      <c r="M4" s="8">
        <f ca="1"/>
        <v>1</v>
      </c>
    </row>
    <row r="5" spans="1:13" x14ac:dyDescent="0.3">
      <c r="B5" s="6"/>
      <c r="C5" s="6"/>
      <c r="D5" s="6"/>
      <c r="E5" s="6"/>
    </row>
    <row r="6" spans="1:13" x14ac:dyDescent="0.3">
      <c r="B6" s="6"/>
      <c r="C6" s="6"/>
      <c r="D6" s="6"/>
      <c r="E6" s="6"/>
    </row>
    <row r="7" spans="1:13" x14ac:dyDescent="0.3">
      <c r="B7" s="6"/>
      <c r="C7" s="6"/>
      <c r="D7" s="6"/>
      <c r="E7" s="6"/>
    </row>
    <row r="8" spans="1:13" x14ac:dyDescent="0.3">
      <c r="B8" s="6"/>
      <c r="C8" s="6"/>
      <c r="D8" s="6"/>
      <c r="E8" s="6"/>
    </row>
    <row r="9" spans="1:13" x14ac:dyDescent="0.3">
      <c r="B9" s="6"/>
      <c r="C9" s="6"/>
      <c r="D9" s="6"/>
      <c r="E9" s="6"/>
    </row>
    <row r="10" spans="1:13" x14ac:dyDescent="0.3">
      <c r="B10" s="6"/>
      <c r="C10" s="6"/>
      <c r="D10" s="6"/>
      <c r="E10" s="6"/>
    </row>
    <row r="11" spans="1:13" x14ac:dyDescent="0.3">
      <c r="B11" s="6"/>
      <c r="C11" s="6"/>
      <c r="D11" s="6"/>
      <c r="E11" s="6"/>
    </row>
    <row r="12" spans="1:13" x14ac:dyDescent="0.3">
      <c r="B12" s="6"/>
      <c r="C12" s="6"/>
      <c r="D12" s="6"/>
      <c r="E12" s="6"/>
    </row>
    <row r="13" spans="1:13" x14ac:dyDescent="0.3">
      <c r="B13" s="6"/>
      <c r="C13" s="6"/>
      <c r="D13" s="6"/>
      <c r="E13" s="6"/>
    </row>
    <row r="14" spans="1:13" x14ac:dyDescent="0.3">
      <c r="B14" s="6"/>
      <c r="C14" s="6"/>
      <c r="D14" s="6"/>
      <c r="E14" s="6"/>
    </row>
    <row r="15" spans="1:13" x14ac:dyDescent="0.3">
      <c r="B15" s="6"/>
      <c r="C15" s="6"/>
      <c r="D15" s="6"/>
      <c r="E15" s="6"/>
    </row>
    <row r="16" spans="1:13" x14ac:dyDescent="0.3">
      <c r="B16" s="6"/>
      <c r="C16" s="6"/>
      <c r="D16" s="6"/>
      <c r="E16" s="6"/>
    </row>
    <row r="17" spans="2:5" x14ac:dyDescent="0.3">
      <c r="B17" s="6"/>
      <c r="C17" s="6"/>
      <c r="D17" s="6"/>
      <c r="E17" s="6"/>
    </row>
    <row r="18" spans="2:5" x14ac:dyDescent="0.3">
      <c r="B18" s="6"/>
      <c r="C18" s="6"/>
      <c r="D18" s="6"/>
      <c r="E18" s="6"/>
    </row>
    <row r="19" spans="2:5" x14ac:dyDescent="0.3">
      <c r="B19" s="6"/>
      <c r="C19" s="6"/>
      <c r="D19" s="6"/>
      <c r="E19" s="6"/>
    </row>
    <row r="20" spans="2:5" x14ac:dyDescent="0.3">
      <c r="B20" s="6"/>
      <c r="C20" s="6"/>
      <c r="D20" s="6"/>
      <c r="E20" s="6"/>
    </row>
    <row r="21" spans="2:5" x14ac:dyDescent="0.3">
      <c r="B21" s="6"/>
      <c r="C21" s="6"/>
      <c r="D21" s="6"/>
      <c r="E21" s="6"/>
    </row>
    <row r="22" spans="2:5" x14ac:dyDescent="0.3">
      <c r="B22" s="6"/>
      <c r="C22" s="6"/>
      <c r="D22" s="6"/>
      <c r="E22" s="6"/>
    </row>
    <row r="23" spans="2:5" x14ac:dyDescent="0.3">
      <c r="B23" s="6"/>
      <c r="C23" s="6"/>
      <c r="D23" s="6"/>
      <c r="E23" s="6"/>
    </row>
    <row r="24" spans="2:5" x14ac:dyDescent="0.3">
      <c r="B24" s="6"/>
      <c r="C24" s="6"/>
      <c r="D24" s="6"/>
      <c r="E24" s="6"/>
    </row>
    <row r="25" spans="2:5" x14ac:dyDescent="0.3">
      <c r="B25" s="6"/>
      <c r="C25" s="6"/>
      <c r="D25" s="6"/>
      <c r="E25" s="6"/>
    </row>
    <row r="26" spans="2:5" x14ac:dyDescent="0.3">
      <c r="B26" s="6"/>
      <c r="C26" s="6"/>
      <c r="D26" s="6"/>
      <c r="E26" s="6"/>
    </row>
    <row r="27" spans="2:5" x14ac:dyDescent="0.3">
      <c r="B27" s="6"/>
      <c r="C27" s="6"/>
      <c r="D27" s="6"/>
      <c r="E27" s="6"/>
    </row>
    <row r="28" spans="2:5" x14ac:dyDescent="0.3">
      <c r="B28" s="6"/>
      <c r="C28" s="6"/>
      <c r="D28" s="6"/>
      <c r="E28" s="6"/>
    </row>
    <row r="29" spans="2:5" x14ac:dyDescent="0.3">
      <c r="B29" s="6"/>
      <c r="C29" s="6"/>
      <c r="D29" s="6"/>
      <c r="E29" s="6"/>
    </row>
    <row r="30" spans="2:5" x14ac:dyDescent="0.3">
      <c r="B30" s="6"/>
      <c r="C30" s="6"/>
      <c r="D30" s="6"/>
      <c r="E30" s="6"/>
    </row>
    <row r="31" spans="2:5" x14ac:dyDescent="0.3">
      <c r="B31" s="6"/>
      <c r="C31" s="6"/>
      <c r="D31" s="6"/>
      <c r="E31" s="6"/>
    </row>
    <row r="32" spans="2:5" x14ac:dyDescent="0.3">
      <c r="B32" s="6"/>
      <c r="C32" s="6"/>
      <c r="D32" s="6"/>
      <c r="E32" s="6"/>
    </row>
    <row r="33" spans="2:5" x14ac:dyDescent="0.3">
      <c r="B33" s="6"/>
      <c r="C33" s="6"/>
      <c r="D33" s="6"/>
      <c r="E33" s="6"/>
    </row>
    <row r="34" spans="2:5" x14ac:dyDescent="0.3">
      <c r="B34" s="6"/>
      <c r="C34" s="6"/>
      <c r="D34" s="6"/>
      <c r="E34" s="6"/>
    </row>
    <row r="35" spans="2:5" x14ac:dyDescent="0.3">
      <c r="B35" s="6"/>
      <c r="C35" s="6"/>
      <c r="D35" s="6"/>
      <c r="E35" s="6"/>
    </row>
    <row r="36" spans="2:5" x14ac:dyDescent="0.3">
      <c r="B36" s="6"/>
      <c r="C36" s="6"/>
      <c r="D36" s="6"/>
      <c r="E36" s="6"/>
    </row>
    <row r="37" spans="2:5" x14ac:dyDescent="0.3">
      <c r="B37" s="6"/>
      <c r="C37" s="6"/>
      <c r="D37" s="6"/>
      <c r="E37" s="6"/>
    </row>
    <row r="38" spans="2:5" x14ac:dyDescent="0.3">
      <c r="B38" s="6"/>
      <c r="C38" s="6"/>
      <c r="D38" s="6"/>
      <c r="E38" s="6"/>
    </row>
  </sheetData>
  <sheetProtection algorithmName="SHA-512" hashValue="iw72bc0yF6XxrexWQ3bLOhvypGUzFcbW1PJtWsbc7uXXBgbPDz8ch4QR2TZVA/V5jxNAvMPx70yVlCTHdRvHKA==" saltValue="dO02Y7Zog1xufJulA1cjX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Match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Alireza Mirshafee</dc:creator>
  <cp:lastModifiedBy>Alireza Mirshafee</cp:lastModifiedBy>
  <dcterms:created xsi:type="dcterms:W3CDTF">2024-12-15T16:10:38Z</dcterms:created>
  <dcterms:modified xsi:type="dcterms:W3CDTF">2024-12-16T11:32:22Z</dcterms:modified>
</cp:coreProperties>
</file>